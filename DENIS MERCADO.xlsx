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5600" windowHeight="11040"/>
  </bookViews>
  <sheets>
    <sheet name="Hoj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1" l="1"/>
  <c r="G44" i="1"/>
  <c r="G45" i="1"/>
  <c r="G46" i="1"/>
  <c r="G47" i="1"/>
  <c r="G48" i="1"/>
  <c r="G49" i="1"/>
  <c r="I40" i="1" l="1"/>
  <c r="G40" i="1"/>
  <c r="G36" i="1" l="1"/>
  <c r="G37" i="1"/>
  <c r="G38" i="1"/>
  <c r="G39" i="1"/>
  <c r="G41" i="1"/>
  <c r="G42" i="1"/>
  <c r="G26" i="1" l="1"/>
  <c r="G17" i="1" l="1"/>
  <c r="G18" i="1"/>
  <c r="G19" i="1"/>
  <c r="G20" i="1"/>
  <c r="G21" i="1"/>
  <c r="G22" i="1"/>
  <c r="G23" i="1"/>
  <c r="G24" i="1"/>
  <c r="G25" i="1"/>
  <c r="G27" i="1"/>
  <c r="G28" i="1"/>
  <c r="G29" i="1"/>
  <c r="G30" i="1"/>
  <c r="G31" i="1"/>
  <c r="G32" i="1"/>
  <c r="G33" i="1"/>
  <c r="G34" i="1"/>
  <c r="G35" i="1"/>
  <c r="G16" i="1"/>
  <c r="I16" i="1" l="1"/>
  <c r="I17" i="1" l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1" i="1" s="1"/>
  <c r="I42" i="1" s="1"/>
  <c r="I43" i="1" s="1"/>
  <c r="I44" i="1" s="1"/>
  <c r="I45" i="1" s="1"/>
  <c r="I46" i="1" s="1"/>
  <c r="I47" i="1" s="1"/>
  <c r="I48" i="1" s="1"/>
  <c r="I49" i="1" s="1"/>
</calcChain>
</file>

<file path=xl/sharedStrings.xml><?xml version="1.0" encoding="utf-8"?>
<sst xmlns="http://schemas.openxmlformats.org/spreadsheetml/2006/main" count="51" uniqueCount="35">
  <si>
    <t>REMITO</t>
  </si>
  <si>
    <t>FECHA</t>
  </si>
  <si>
    <t>PRODUCTO</t>
  </si>
  <si>
    <t>CANTIDAD</t>
  </si>
  <si>
    <t>$ UNITARIO</t>
  </si>
  <si>
    <t>TOTAL</t>
  </si>
  <si>
    <t>PAGA A CTA</t>
  </si>
  <si>
    <t>DEBE</t>
  </si>
  <si>
    <t xml:space="preserve">FONDO : CONVENCIONAL  / TACO : CONVENCIONAL </t>
  </si>
  <si>
    <t>DENIS MERCADO</t>
  </si>
  <si>
    <t>TOMATERA CABEZAL MACIZO</t>
  </si>
  <si>
    <t>MEDIDA :  20 X 28 X 48</t>
  </si>
  <si>
    <t>CABEZAL:   8 X 28 MAS  2  SUPLEMENTOS DE  3,7 X 28   /     COSTADO : 3 TABLA DE  5,7 X 48</t>
  </si>
  <si>
    <t>TOMATERAS CABEZAL MACIZO</t>
  </si>
  <si>
    <t>PALLETS</t>
  </si>
  <si>
    <t xml:space="preserve">VALOR TOMATERAS CABEZAL MACIZO : $ 1820 ENTREGADA EN SAN JUAN </t>
  </si>
  <si>
    <t>VALOR TOMATERAS CABEZAL MACIZO : $ 1750 A RETIRAR EN ASERRADERO</t>
  </si>
  <si>
    <t xml:space="preserve">FLETE </t>
  </si>
  <si>
    <t>PAGO A JO CH+EF</t>
  </si>
  <si>
    <t>CH DE VTA N° 56700027</t>
  </si>
  <si>
    <t>CH DE VTA N° 56700028</t>
  </si>
  <si>
    <t>CH DE VTA N° 56700031</t>
  </si>
  <si>
    <t xml:space="preserve">PAGO A JO CH </t>
  </si>
  <si>
    <t>CH DE VLTA N°56461872</t>
  </si>
  <si>
    <t xml:space="preserve">CAJA PARA ESPARRAGO: </t>
  </si>
  <si>
    <t>MEDIDA: 17 X 40 X 50</t>
  </si>
  <si>
    <t>CABEZAL: TERCIADO 17 X 40 C/ AGUJRO ( MARCADO EN 3 COLORES; NEGRO AMARILLO Y VERDE)</t>
  </si>
  <si>
    <t>FONDO: 5 TABLAS DE 5,8 X 50 ; RESTO CONVENCIONAL   /      TACO: CONVENCIONAL</t>
  </si>
  <si>
    <t>DISEÑO / PELICULAS / MAYAS</t>
  </si>
  <si>
    <t>MARCADAS P/ ESPARRAGOS</t>
  </si>
  <si>
    <t>COSTADO: 1 TABLA DE 8 X 50 MARCADA EN 1 COLOR VERDE (MULTIPLE) Y 1 TABLA DE 4,5 X 50</t>
  </si>
  <si>
    <t>ESQUINERO: A 17"       /       DESPEJE: ARRIBA 1,5 CM</t>
  </si>
  <si>
    <t>PAGO A JO CH</t>
  </si>
  <si>
    <t>EN EL ACOPLADO ENTRAN  14 PALLETS DE ESPARRAGOS</t>
  </si>
  <si>
    <t>DEBE LUCERO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</si>
</sst>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$-2C0A]\ * #,##0.00_ ;_ [$$-2C0A]\ * \-#,##0.00_ ;_ [$$-2C0A]\ * &quot;-&quot;??_ ;_ @_ "/>
    <numFmt numFmtId="165" formatCode="&quot;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164" fontId="4" fillId="0" borderId="4" xfId="0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Border="1"/>
    <xf numFmtId="0" fontId="1" fillId="2" borderId="4" xfId="0" applyFont="1" applyFill="1" applyBorder="1" applyAlignment="1"/>
    <xf numFmtId="16" fontId="0" fillId="0" borderId="4" xfId="0" applyNumberFormat="1" applyFill="1" applyBorder="1" applyAlignment="1">
      <alignment horizontal="center"/>
    </xf>
    <xf numFmtId="165" fontId="4" fillId="0" borderId="4" xfId="0" applyNumberFormat="1" applyFont="1" applyFill="1" applyBorder="1" applyAlignment="1">
      <alignment horizontal="center"/>
    </xf>
    <xf numFmtId="165" fontId="0" fillId="2" borderId="4" xfId="0" applyNumberFormat="1" applyFont="1" applyFill="1" applyBorder="1" applyAlignment="1">
      <alignment horizontal="center"/>
    </xf>
    <xf numFmtId="165" fontId="0" fillId="0" borderId="4" xfId="0" applyNumberFormat="1" applyFont="1" applyFill="1" applyBorder="1" applyAlignment="1">
      <alignment horizontal="center"/>
    </xf>
    <xf numFmtId="164" fontId="5" fillId="0" borderId="4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0" fontId="0" fillId="2" borderId="0" xfId="0" applyFill="1"/>
    <xf numFmtId="14" fontId="0" fillId="0" borderId="4" xfId="0" applyNumberFormat="1" applyFill="1" applyBorder="1" applyAlignment="1">
      <alignment horizontal="center"/>
    </xf>
    <xf numFmtId="14" fontId="0" fillId="2" borderId="4" xfId="0" applyNumberFormat="1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165" fontId="8" fillId="0" borderId="4" xfId="0" applyNumberFormat="1" applyFont="1" applyFill="1" applyBorder="1" applyAlignment="1">
      <alignment horizontal="center"/>
    </xf>
    <xf numFmtId="164" fontId="8" fillId="0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165" fontId="8" fillId="2" borderId="4" xfId="0" applyNumberFormat="1" applyFont="1" applyFill="1" applyBorder="1" applyAlignment="1">
      <alignment horizontal="center"/>
    </xf>
    <xf numFmtId="164" fontId="8" fillId="2" borderId="4" xfId="0" applyNumberFormat="1" applyFont="1" applyFill="1" applyBorder="1" applyAlignment="1">
      <alignment horizontal="center"/>
    </xf>
    <xf numFmtId="165" fontId="4" fillId="2" borderId="4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1057275</xdr:colOff>
      <xdr:row>23</xdr:row>
      <xdr:rowOff>90487</xdr:rowOff>
    </xdr:from>
    <xdr:ext cx="65" cy="17222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191375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24</xdr:row>
      <xdr:rowOff>90487</xdr:rowOff>
    </xdr:from>
    <xdr:ext cx="65" cy="172227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410450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26</xdr:row>
      <xdr:rowOff>90487</xdr:rowOff>
    </xdr:from>
    <xdr:ext cx="65" cy="172227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410450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27</xdr:row>
      <xdr:rowOff>90487</xdr:rowOff>
    </xdr:from>
    <xdr:ext cx="65" cy="172227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410450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28</xdr:row>
      <xdr:rowOff>90487</xdr:rowOff>
    </xdr:from>
    <xdr:ext cx="65" cy="172227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410450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29</xdr:row>
      <xdr:rowOff>90487</xdr:rowOff>
    </xdr:from>
    <xdr:ext cx="65" cy="172227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410450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30</xdr:row>
      <xdr:rowOff>90487</xdr:rowOff>
    </xdr:from>
    <xdr:ext cx="65" cy="172227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410450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31</xdr:row>
      <xdr:rowOff>90487</xdr:rowOff>
    </xdr:from>
    <xdr:ext cx="65" cy="172227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410450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32</xdr:row>
      <xdr:rowOff>90487</xdr:rowOff>
    </xdr:from>
    <xdr:ext cx="65" cy="172227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410450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33</xdr:row>
      <xdr:rowOff>90487</xdr:rowOff>
    </xdr:from>
    <xdr:ext cx="65" cy="172227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7410450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34</xdr:row>
      <xdr:rowOff>90487</xdr:rowOff>
    </xdr:from>
    <xdr:ext cx="65" cy="172227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7410450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24</xdr:row>
      <xdr:rowOff>90487</xdr:rowOff>
    </xdr:from>
    <xdr:ext cx="65" cy="17222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410575" y="3690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25</xdr:row>
      <xdr:rowOff>90487</xdr:rowOff>
    </xdr:from>
    <xdr:ext cx="65" cy="172227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410575" y="3881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34</xdr:row>
      <xdr:rowOff>90487</xdr:rowOff>
    </xdr:from>
    <xdr:ext cx="65" cy="172227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68940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35</xdr:row>
      <xdr:rowOff>90487</xdr:rowOff>
    </xdr:from>
    <xdr:ext cx="65" cy="172227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35</xdr:row>
      <xdr:rowOff>90487</xdr:rowOff>
    </xdr:from>
    <xdr:ext cx="65" cy="172227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68940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36</xdr:row>
      <xdr:rowOff>90487</xdr:rowOff>
    </xdr:from>
    <xdr:ext cx="65" cy="172227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36</xdr:row>
      <xdr:rowOff>90487</xdr:rowOff>
    </xdr:from>
    <xdr:ext cx="65" cy="172227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36</xdr:row>
      <xdr:rowOff>90487</xdr:rowOff>
    </xdr:from>
    <xdr:ext cx="65" cy="17222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68940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37</xdr:row>
      <xdr:rowOff>90487</xdr:rowOff>
    </xdr:from>
    <xdr:ext cx="65" cy="172227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37</xdr:row>
      <xdr:rowOff>90487</xdr:rowOff>
    </xdr:from>
    <xdr:ext cx="65" cy="172227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37</xdr:row>
      <xdr:rowOff>90487</xdr:rowOff>
    </xdr:from>
    <xdr:ext cx="65" cy="172227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68940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38</xdr:row>
      <xdr:rowOff>90487</xdr:rowOff>
    </xdr:from>
    <xdr:ext cx="65" cy="172227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38</xdr:row>
      <xdr:rowOff>90487</xdr:rowOff>
    </xdr:from>
    <xdr:ext cx="65" cy="172227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38</xdr:row>
      <xdr:rowOff>90487</xdr:rowOff>
    </xdr:from>
    <xdr:ext cx="65" cy="172227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68940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39</xdr:row>
      <xdr:rowOff>90487</xdr:rowOff>
    </xdr:from>
    <xdr:ext cx="65" cy="172227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39</xdr:row>
      <xdr:rowOff>90487</xdr:rowOff>
    </xdr:from>
    <xdr:ext cx="65" cy="172227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39</xdr:row>
      <xdr:rowOff>90487</xdr:rowOff>
    </xdr:from>
    <xdr:ext cx="65" cy="172227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68940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40</xdr:row>
      <xdr:rowOff>90487</xdr:rowOff>
    </xdr:from>
    <xdr:ext cx="65" cy="172227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40</xdr:row>
      <xdr:rowOff>90487</xdr:rowOff>
    </xdr:from>
    <xdr:ext cx="65" cy="172227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40</xdr:row>
      <xdr:rowOff>90487</xdr:rowOff>
    </xdr:from>
    <xdr:ext cx="65" cy="172227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68940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41</xdr:row>
      <xdr:rowOff>90487</xdr:rowOff>
    </xdr:from>
    <xdr:ext cx="65" cy="172227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41</xdr:row>
      <xdr:rowOff>90487</xdr:rowOff>
    </xdr:from>
    <xdr:ext cx="65" cy="172227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38</xdr:row>
      <xdr:rowOff>90487</xdr:rowOff>
    </xdr:from>
    <xdr:ext cx="65" cy="172227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68940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39</xdr:row>
      <xdr:rowOff>90487</xdr:rowOff>
    </xdr:from>
    <xdr:ext cx="65" cy="172227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39</xdr:row>
      <xdr:rowOff>90487</xdr:rowOff>
    </xdr:from>
    <xdr:ext cx="65" cy="172227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70868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41</xdr:row>
      <xdr:rowOff>90487</xdr:rowOff>
    </xdr:from>
    <xdr:ext cx="65" cy="172227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41</xdr:row>
      <xdr:rowOff>90487</xdr:rowOff>
    </xdr:from>
    <xdr:ext cx="65" cy="172227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41</xdr:row>
      <xdr:rowOff>90487</xdr:rowOff>
    </xdr:from>
    <xdr:ext cx="65" cy="172227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42</xdr:row>
      <xdr:rowOff>90487</xdr:rowOff>
    </xdr:from>
    <xdr:ext cx="65" cy="172227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42</xdr:row>
      <xdr:rowOff>90487</xdr:rowOff>
    </xdr:from>
    <xdr:ext cx="65" cy="172227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42</xdr:row>
      <xdr:rowOff>90487</xdr:rowOff>
    </xdr:from>
    <xdr:ext cx="65" cy="172227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42</xdr:row>
      <xdr:rowOff>90487</xdr:rowOff>
    </xdr:from>
    <xdr:ext cx="65" cy="172227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42</xdr:row>
      <xdr:rowOff>90487</xdr:rowOff>
    </xdr:from>
    <xdr:ext cx="65" cy="172227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43</xdr:row>
      <xdr:rowOff>90487</xdr:rowOff>
    </xdr:from>
    <xdr:ext cx="65" cy="172227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43</xdr:row>
      <xdr:rowOff>90487</xdr:rowOff>
    </xdr:from>
    <xdr:ext cx="65" cy="172227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43</xdr:row>
      <xdr:rowOff>90487</xdr:rowOff>
    </xdr:from>
    <xdr:ext cx="65" cy="172227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43</xdr:row>
      <xdr:rowOff>90487</xdr:rowOff>
    </xdr:from>
    <xdr:ext cx="65" cy="172227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43</xdr:row>
      <xdr:rowOff>90487</xdr:rowOff>
    </xdr:from>
    <xdr:ext cx="65" cy="172227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43</xdr:row>
      <xdr:rowOff>90487</xdr:rowOff>
    </xdr:from>
    <xdr:ext cx="65" cy="172227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43</xdr:row>
      <xdr:rowOff>90487</xdr:rowOff>
    </xdr:from>
    <xdr:ext cx="65" cy="172227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43</xdr:row>
      <xdr:rowOff>90487</xdr:rowOff>
    </xdr:from>
    <xdr:ext cx="65" cy="172227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44</xdr:row>
      <xdr:rowOff>90487</xdr:rowOff>
    </xdr:from>
    <xdr:ext cx="65" cy="172227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44</xdr:row>
      <xdr:rowOff>90487</xdr:rowOff>
    </xdr:from>
    <xdr:ext cx="65" cy="172227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44</xdr:row>
      <xdr:rowOff>90487</xdr:rowOff>
    </xdr:from>
    <xdr:ext cx="65" cy="172227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44</xdr:row>
      <xdr:rowOff>90487</xdr:rowOff>
    </xdr:from>
    <xdr:ext cx="65" cy="172227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44</xdr:row>
      <xdr:rowOff>90487</xdr:rowOff>
    </xdr:from>
    <xdr:ext cx="65" cy="172227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44</xdr:row>
      <xdr:rowOff>90487</xdr:rowOff>
    </xdr:from>
    <xdr:ext cx="65" cy="172227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44</xdr:row>
      <xdr:rowOff>90487</xdr:rowOff>
    </xdr:from>
    <xdr:ext cx="65" cy="172227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44</xdr:row>
      <xdr:rowOff>90487</xdr:rowOff>
    </xdr:from>
    <xdr:ext cx="65" cy="172227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45</xdr:row>
      <xdr:rowOff>90487</xdr:rowOff>
    </xdr:from>
    <xdr:ext cx="65" cy="172227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45</xdr:row>
      <xdr:rowOff>90487</xdr:rowOff>
    </xdr:from>
    <xdr:ext cx="65" cy="172227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45</xdr:row>
      <xdr:rowOff>90487</xdr:rowOff>
    </xdr:from>
    <xdr:ext cx="65" cy="172227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45</xdr:row>
      <xdr:rowOff>90487</xdr:rowOff>
    </xdr:from>
    <xdr:ext cx="65" cy="172227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45</xdr:row>
      <xdr:rowOff>90487</xdr:rowOff>
    </xdr:from>
    <xdr:ext cx="65" cy="172227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45</xdr:row>
      <xdr:rowOff>90487</xdr:rowOff>
    </xdr:from>
    <xdr:ext cx="65" cy="172227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45</xdr:row>
      <xdr:rowOff>90487</xdr:rowOff>
    </xdr:from>
    <xdr:ext cx="65" cy="172227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45</xdr:row>
      <xdr:rowOff>90487</xdr:rowOff>
    </xdr:from>
    <xdr:ext cx="65" cy="172227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46</xdr:row>
      <xdr:rowOff>90487</xdr:rowOff>
    </xdr:from>
    <xdr:ext cx="65" cy="172227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46</xdr:row>
      <xdr:rowOff>90487</xdr:rowOff>
    </xdr:from>
    <xdr:ext cx="65" cy="172227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46</xdr:row>
      <xdr:rowOff>90487</xdr:rowOff>
    </xdr:from>
    <xdr:ext cx="65" cy="172227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46</xdr:row>
      <xdr:rowOff>90487</xdr:rowOff>
    </xdr:from>
    <xdr:ext cx="65" cy="172227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46</xdr:row>
      <xdr:rowOff>90487</xdr:rowOff>
    </xdr:from>
    <xdr:ext cx="65" cy="172227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46</xdr:row>
      <xdr:rowOff>90487</xdr:rowOff>
    </xdr:from>
    <xdr:ext cx="65" cy="172227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46</xdr:row>
      <xdr:rowOff>90487</xdr:rowOff>
    </xdr:from>
    <xdr:ext cx="65" cy="172227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46</xdr:row>
      <xdr:rowOff>90487</xdr:rowOff>
    </xdr:from>
    <xdr:ext cx="65" cy="172227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47</xdr:row>
      <xdr:rowOff>90487</xdr:rowOff>
    </xdr:from>
    <xdr:ext cx="65" cy="172227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47</xdr:row>
      <xdr:rowOff>90487</xdr:rowOff>
    </xdr:from>
    <xdr:ext cx="65" cy="172227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47</xdr:row>
      <xdr:rowOff>90487</xdr:rowOff>
    </xdr:from>
    <xdr:ext cx="65" cy="172227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47</xdr:row>
      <xdr:rowOff>90487</xdr:rowOff>
    </xdr:from>
    <xdr:ext cx="65" cy="172227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47</xdr:row>
      <xdr:rowOff>90487</xdr:rowOff>
    </xdr:from>
    <xdr:ext cx="65" cy="172227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47</xdr:row>
      <xdr:rowOff>90487</xdr:rowOff>
    </xdr:from>
    <xdr:ext cx="65" cy="172227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47</xdr:row>
      <xdr:rowOff>90487</xdr:rowOff>
    </xdr:from>
    <xdr:ext cx="65" cy="172227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47</xdr:row>
      <xdr:rowOff>90487</xdr:rowOff>
    </xdr:from>
    <xdr:ext cx="65" cy="172227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243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48</xdr:row>
      <xdr:rowOff>90487</xdr:rowOff>
    </xdr:from>
    <xdr:ext cx="65" cy="172227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48</xdr:row>
      <xdr:rowOff>90487</xdr:rowOff>
    </xdr:from>
    <xdr:ext cx="65" cy="172227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48</xdr:row>
      <xdr:rowOff>90487</xdr:rowOff>
    </xdr:from>
    <xdr:ext cx="65" cy="172227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48</xdr:row>
      <xdr:rowOff>90487</xdr:rowOff>
    </xdr:from>
    <xdr:ext cx="65" cy="172227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  <xdr:oneCellAnchor>
    <xdr:from>
      <xdr:col>7</xdr:col>
      <xdr:colOff>1057275</xdr:colOff>
      <xdr:row>48</xdr:row>
      <xdr:rowOff>90487</xdr:rowOff>
    </xdr:from>
    <xdr:ext cx="65" cy="172227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50489" y="84362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A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9"/>
  <sheetViews>
    <sheetView tabSelected="1" topLeftCell="A29" zoomScale="84" zoomScaleNormal="84" workbookViewId="0">
      <selection activeCell="C43" sqref="C43"/>
    </sheetView>
  </sheetViews>
  <sheetFormatPr baseColWidth="10" defaultColWidth="9.140625" defaultRowHeight="15" x14ac:dyDescent="0.25"/>
  <cols>
    <col min="3" max="3" width="14.5703125" customWidth="1"/>
    <col min="4" max="4" width="33.7109375" customWidth="1"/>
    <col min="5" max="5" width="16" customWidth="1"/>
    <col min="6" max="6" width="13.7109375" customWidth="1"/>
    <col min="7" max="7" width="14.42578125" bestFit="1" customWidth="1"/>
    <col min="8" max="8" width="17.7109375" customWidth="1"/>
    <col min="9" max="9" width="17.5703125" customWidth="1"/>
  </cols>
  <sheetData>
    <row r="2" spans="2:9" ht="33.75" x14ac:dyDescent="0.5">
      <c r="B2" s="36" t="s">
        <v>9</v>
      </c>
      <c r="C2" s="36"/>
      <c r="D2" s="36"/>
      <c r="E2" s="36"/>
      <c r="F2" s="36"/>
      <c r="G2" s="36"/>
      <c r="H2" s="36"/>
      <c r="I2" s="37"/>
    </row>
    <row r="3" spans="2:9" ht="21" x14ac:dyDescent="0.35">
      <c r="B3" s="38" t="s">
        <v>10</v>
      </c>
      <c r="C3" s="38"/>
      <c r="D3" s="38"/>
      <c r="E3" s="38"/>
      <c r="F3" s="38"/>
      <c r="G3" s="38"/>
      <c r="H3" s="38"/>
      <c r="I3" s="39"/>
    </row>
    <row r="4" spans="2:9" ht="15.75" x14ac:dyDescent="0.25">
      <c r="B4" s="28" t="s">
        <v>11</v>
      </c>
      <c r="C4" s="28"/>
      <c r="D4" s="28"/>
      <c r="E4" s="28"/>
      <c r="F4" s="28"/>
      <c r="G4" s="28"/>
      <c r="H4" s="28"/>
      <c r="I4" s="29"/>
    </row>
    <row r="5" spans="2:9" ht="15.75" x14ac:dyDescent="0.25">
      <c r="B5" s="28" t="s">
        <v>12</v>
      </c>
      <c r="C5" s="28"/>
      <c r="D5" s="28"/>
      <c r="E5" s="28"/>
      <c r="F5" s="28"/>
      <c r="G5" s="28"/>
      <c r="H5" s="28"/>
      <c r="I5" s="29"/>
    </row>
    <row r="6" spans="2:9" ht="15.75" x14ac:dyDescent="0.25">
      <c r="B6" s="28" t="s">
        <v>8</v>
      </c>
      <c r="C6" s="28"/>
      <c r="D6" s="28"/>
      <c r="E6" s="28"/>
      <c r="F6" s="28"/>
      <c r="G6" s="28"/>
      <c r="H6" s="28"/>
      <c r="I6" s="29"/>
    </row>
    <row r="7" spans="2:9" ht="15.75" x14ac:dyDescent="0.25">
      <c r="B7" s="28" t="s">
        <v>16</v>
      </c>
      <c r="C7" s="28"/>
      <c r="D7" s="28"/>
      <c r="E7" s="28"/>
      <c r="F7" s="28"/>
      <c r="G7" s="28"/>
      <c r="H7" s="28"/>
      <c r="I7" s="29"/>
    </row>
    <row r="8" spans="2:9" ht="15.75" x14ac:dyDescent="0.25">
      <c r="B8" s="28" t="s">
        <v>15</v>
      </c>
      <c r="C8" s="28"/>
      <c r="D8" s="28"/>
      <c r="E8" s="28"/>
      <c r="F8" s="28"/>
      <c r="G8" s="28"/>
      <c r="H8" s="28"/>
      <c r="I8" s="29"/>
    </row>
    <row r="9" spans="2:9" ht="15.75" x14ac:dyDescent="0.25">
      <c r="B9" s="28" t="s">
        <v>24</v>
      </c>
      <c r="C9" s="28"/>
      <c r="D9" s="28"/>
      <c r="E9" s="28"/>
      <c r="F9" s="28"/>
      <c r="G9" s="28"/>
      <c r="H9" s="28"/>
      <c r="I9" s="29"/>
    </row>
    <row r="10" spans="2:9" ht="15.75" x14ac:dyDescent="0.25">
      <c r="B10" s="28" t="s">
        <v>25</v>
      </c>
      <c r="C10" s="28"/>
      <c r="D10" s="28"/>
      <c r="E10" s="28"/>
      <c r="F10" s="28"/>
      <c r="G10" s="28"/>
      <c r="H10" s="28"/>
      <c r="I10" s="29"/>
    </row>
    <row r="11" spans="2:9" ht="15.75" x14ac:dyDescent="0.25">
      <c r="B11" s="28" t="s">
        <v>26</v>
      </c>
      <c r="C11" s="28"/>
      <c r="D11" s="28"/>
      <c r="E11" s="28"/>
      <c r="F11" s="28"/>
      <c r="G11" s="28"/>
      <c r="H11" s="28"/>
      <c r="I11" s="29"/>
    </row>
    <row r="12" spans="2:9" ht="15.75" x14ac:dyDescent="0.25">
      <c r="B12" s="28" t="s">
        <v>30</v>
      </c>
      <c r="C12" s="28"/>
      <c r="D12" s="28"/>
      <c r="E12" s="28"/>
      <c r="F12" s="28"/>
      <c r="G12" s="28"/>
      <c r="H12" s="28"/>
      <c r="I12" s="29"/>
    </row>
    <row r="13" spans="2:9" ht="15.75" x14ac:dyDescent="0.25">
      <c r="B13" s="28" t="s">
        <v>31</v>
      </c>
      <c r="C13" s="28"/>
      <c r="D13" s="28"/>
      <c r="E13" s="28"/>
      <c r="F13" s="28"/>
      <c r="G13" s="28"/>
      <c r="H13" s="28"/>
      <c r="I13" s="29"/>
    </row>
    <row r="14" spans="2:9" ht="15.75" x14ac:dyDescent="0.25">
      <c r="B14" s="28" t="s">
        <v>27</v>
      </c>
      <c r="C14" s="28"/>
      <c r="D14" s="28"/>
      <c r="E14" s="28"/>
      <c r="F14" s="28"/>
      <c r="G14" s="28"/>
      <c r="H14" s="28"/>
      <c r="I14" s="29"/>
    </row>
    <row r="15" spans="2:9" x14ac:dyDescent="0.25">
      <c r="B15" s="1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  <c r="I15" s="2" t="s">
        <v>7</v>
      </c>
    </row>
    <row r="16" spans="2:9" x14ac:dyDescent="0.25">
      <c r="B16" s="3">
        <v>2330</v>
      </c>
      <c r="C16" s="18">
        <v>45761</v>
      </c>
      <c r="D16" s="4" t="s">
        <v>13</v>
      </c>
      <c r="E16" s="4">
        <v>3024</v>
      </c>
      <c r="F16" s="11">
        <v>1820</v>
      </c>
      <c r="G16" s="5">
        <f>E16*F16</f>
        <v>5503680</v>
      </c>
      <c r="H16" s="13"/>
      <c r="I16" s="5">
        <f>G16-H16</f>
        <v>5503680</v>
      </c>
    </row>
    <row r="17" spans="2:13" x14ac:dyDescent="0.25">
      <c r="B17" s="3"/>
      <c r="C17" s="18"/>
      <c r="D17" s="4" t="s">
        <v>14</v>
      </c>
      <c r="E17" s="4">
        <v>24</v>
      </c>
      <c r="F17" s="12">
        <v>4000</v>
      </c>
      <c r="G17" s="5">
        <f t="shared" ref="G17:G35" si="0">E17*F17</f>
        <v>96000</v>
      </c>
      <c r="H17" s="13"/>
      <c r="I17" s="5">
        <f>I16+G17-H17</f>
        <v>5599680</v>
      </c>
    </row>
    <row r="18" spans="2:13" x14ac:dyDescent="0.25">
      <c r="B18" s="3">
        <v>3264</v>
      </c>
      <c r="C18" s="18">
        <v>45790</v>
      </c>
      <c r="D18" s="4" t="s">
        <v>13</v>
      </c>
      <c r="E18" s="6">
        <v>2009</v>
      </c>
      <c r="F18" s="10">
        <v>1820</v>
      </c>
      <c r="G18" s="5">
        <f t="shared" si="0"/>
        <v>3656380</v>
      </c>
      <c r="H18" s="13"/>
      <c r="I18" s="5">
        <f t="shared" ref="I18:I42" si="1">I17+G18-H18</f>
        <v>9256060</v>
      </c>
    </row>
    <row r="19" spans="2:13" x14ac:dyDescent="0.25">
      <c r="B19" s="7"/>
      <c r="C19" s="18"/>
      <c r="D19" s="4" t="s">
        <v>14</v>
      </c>
      <c r="E19" s="2">
        <v>16</v>
      </c>
      <c r="F19" s="10">
        <v>4000</v>
      </c>
      <c r="G19" s="5">
        <f t="shared" si="0"/>
        <v>64000</v>
      </c>
      <c r="H19" s="13"/>
      <c r="I19" s="5">
        <f t="shared" si="1"/>
        <v>9320060</v>
      </c>
      <c r="J19" s="30"/>
      <c r="K19" s="31"/>
    </row>
    <row r="20" spans="2:13" x14ac:dyDescent="0.25">
      <c r="B20" s="7"/>
      <c r="C20" s="18"/>
      <c r="D20" s="4" t="s">
        <v>17</v>
      </c>
      <c r="E20" s="6">
        <v>1</v>
      </c>
      <c r="F20" s="10">
        <v>100000</v>
      </c>
      <c r="G20" s="5">
        <f t="shared" si="0"/>
        <v>100000</v>
      </c>
      <c r="H20" s="13"/>
      <c r="I20" s="5">
        <f t="shared" si="1"/>
        <v>9420060</v>
      </c>
    </row>
    <row r="21" spans="2:13" x14ac:dyDescent="0.25">
      <c r="B21" s="7"/>
      <c r="C21" s="18">
        <v>45791</v>
      </c>
      <c r="D21" s="2" t="s">
        <v>18</v>
      </c>
      <c r="E21" s="2"/>
      <c r="F21" s="10"/>
      <c r="G21" s="5">
        <f t="shared" si="0"/>
        <v>0</v>
      </c>
      <c r="H21" s="13">
        <v>9420100</v>
      </c>
      <c r="I21" s="5">
        <f t="shared" si="1"/>
        <v>-40</v>
      </c>
    </row>
    <row r="22" spans="2:13" x14ac:dyDescent="0.25">
      <c r="B22" s="7"/>
      <c r="C22" s="18">
        <v>45821</v>
      </c>
      <c r="D22" s="20" t="s">
        <v>19</v>
      </c>
      <c r="E22" s="20">
        <v>1</v>
      </c>
      <c r="F22" s="21">
        <v>1570000</v>
      </c>
      <c r="G22" s="22">
        <f t="shared" si="0"/>
        <v>1570000</v>
      </c>
      <c r="H22" s="13"/>
      <c r="I22" s="5">
        <f t="shared" si="1"/>
        <v>1569960</v>
      </c>
    </row>
    <row r="23" spans="2:13" x14ac:dyDescent="0.25">
      <c r="B23" s="8"/>
      <c r="C23" s="19">
        <v>45821</v>
      </c>
      <c r="D23" s="20" t="s">
        <v>20</v>
      </c>
      <c r="E23" s="23">
        <v>1</v>
      </c>
      <c r="F23" s="24">
        <v>1570000</v>
      </c>
      <c r="G23" s="22">
        <f t="shared" si="0"/>
        <v>1570000</v>
      </c>
      <c r="H23" s="14"/>
      <c r="I23" s="5">
        <f t="shared" si="1"/>
        <v>3139960</v>
      </c>
    </row>
    <row r="24" spans="2:13" x14ac:dyDescent="0.25">
      <c r="B24" s="7"/>
      <c r="C24" s="18">
        <v>45821</v>
      </c>
      <c r="D24" s="23" t="s">
        <v>21</v>
      </c>
      <c r="E24" s="23">
        <v>1</v>
      </c>
      <c r="F24" s="25">
        <v>1570000</v>
      </c>
      <c r="G24" s="26">
        <f t="shared" si="0"/>
        <v>1570000</v>
      </c>
      <c r="H24" s="16"/>
      <c r="I24" s="5">
        <f t="shared" si="1"/>
        <v>4709960</v>
      </c>
      <c r="J24" s="34"/>
      <c r="K24" s="35"/>
      <c r="L24" s="35"/>
      <c r="M24" s="17"/>
    </row>
    <row r="25" spans="2:13" x14ac:dyDescent="0.25">
      <c r="B25" s="7"/>
      <c r="C25" s="18">
        <v>45821</v>
      </c>
      <c r="D25" s="2" t="s">
        <v>22</v>
      </c>
      <c r="E25" s="6"/>
      <c r="F25" s="10"/>
      <c r="G25" s="5">
        <f t="shared" si="0"/>
        <v>0</v>
      </c>
      <c r="H25" s="13">
        <v>609400</v>
      </c>
      <c r="I25" s="5">
        <f t="shared" si="1"/>
        <v>4100560</v>
      </c>
      <c r="J25" s="34"/>
      <c r="K25" s="35"/>
      <c r="L25" s="35"/>
    </row>
    <row r="26" spans="2:13" x14ac:dyDescent="0.25">
      <c r="B26" s="7"/>
      <c r="C26" s="18">
        <v>45828</v>
      </c>
      <c r="D26" s="2" t="s">
        <v>22</v>
      </c>
      <c r="E26" s="6"/>
      <c r="F26" s="10"/>
      <c r="G26" s="5">
        <f t="shared" ref="G26" si="2">E26*F26</f>
        <v>0</v>
      </c>
      <c r="H26" s="13">
        <v>4100560</v>
      </c>
      <c r="I26" s="5">
        <f t="shared" si="1"/>
        <v>0</v>
      </c>
    </row>
    <row r="27" spans="2:13" x14ac:dyDescent="0.25">
      <c r="B27" s="7"/>
      <c r="C27" s="9">
        <v>45859</v>
      </c>
      <c r="D27" s="20" t="s">
        <v>23</v>
      </c>
      <c r="E27" s="20">
        <v>1</v>
      </c>
      <c r="F27" s="21">
        <v>341000</v>
      </c>
      <c r="G27" s="22">
        <f t="shared" si="0"/>
        <v>341000</v>
      </c>
      <c r="H27" s="13"/>
      <c r="I27" s="5">
        <f t="shared" si="1"/>
        <v>341000</v>
      </c>
    </row>
    <row r="28" spans="2:13" x14ac:dyDescent="0.25">
      <c r="B28" s="7"/>
      <c r="C28" s="9">
        <v>45877</v>
      </c>
      <c r="D28" s="2" t="s">
        <v>28</v>
      </c>
      <c r="E28" s="6">
        <v>1</v>
      </c>
      <c r="F28" s="10">
        <v>308000</v>
      </c>
      <c r="G28" s="15">
        <f t="shared" si="0"/>
        <v>308000</v>
      </c>
      <c r="H28" s="13"/>
      <c r="I28" s="5">
        <f t="shared" si="1"/>
        <v>649000</v>
      </c>
    </row>
    <row r="29" spans="2:13" x14ac:dyDescent="0.25">
      <c r="B29" s="7">
        <v>3949</v>
      </c>
      <c r="C29" s="9">
        <v>45884</v>
      </c>
      <c r="D29" s="4" t="s">
        <v>29</v>
      </c>
      <c r="E29" s="6">
        <v>1045</v>
      </c>
      <c r="F29" s="27">
        <v>2250</v>
      </c>
      <c r="G29" s="5">
        <f t="shared" si="0"/>
        <v>2351250</v>
      </c>
      <c r="H29" s="13"/>
      <c r="I29" s="5">
        <f t="shared" si="1"/>
        <v>3000250</v>
      </c>
    </row>
    <row r="30" spans="2:13" x14ac:dyDescent="0.25">
      <c r="B30" s="7"/>
      <c r="C30" s="9"/>
      <c r="D30" s="4" t="s">
        <v>14</v>
      </c>
      <c r="E30" s="6">
        <v>11</v>
      </c>
      <c r="F30" s="10">
        <v>4000</v>
      </c>
      <c r="G30" s="5">
        <f t="shared" si="0"/>
        <v>44000</v>
      </c>
      <c r="H30" s="13"/>
      <c r="I30" s="5">
        <f t="shared" si="1"/>
        <v>3044250</v>
      </c>
    </row>
    <row r="31" spans="2:13" x14ac:dyDescent="0.25">
      <c r="B31" s="7">
        <v>3884</v>
      </c>
      <c r="C31" s="9">
        <v>45915</v>
      </c>
      <c r="D31" s="4" t="s">
        <v>29</v>
      </c>
      <c r="E31" s="6">
        <v>1056</v>
      </c>
      <c r="F31" s="10">
        <v>2250</v>
      </c>
      <c r="G31" s="5">
        <f t="shared" si="0"/>
        <v>2376000</v>
      </c>
      <c r="H31" s="13"/>
      <c r="I31" s="5">
        <f t="shared" si="1"/>
        <v>5420250</v>
      </c>
      <c r="J31" s="32"/>
      <c r="K31" s="33"/>
    </row>
    <row r="32" spans="2:13" x14ac:dyDescent="0.25">
      <c r="B32" s="7"/>
      <c r="C32" s="9"/>
      <c r="D32" s="4" t="s">
        <v>14</v>
      </c>
      <c r="E32" s="6">
        <v>11</v>
      </c>
      <c r="F32" s="10">
        <v>4000</v>
      </c>
      <c r="G32" s="5">
        <f t="shared" si="0"/>
        <v>44000</v>
      </c>
      <c r="H32" s="13"/>
      <c r="I32" s="5">
        <f t="shared" si="1"/>
        <v>5464250</v>
      </c>
    </row>
    <row r="33" spans="2:15" x14ac:dyDescent="0.25">
      <c r="B33" s="7">
        <v>4266</v>
      </c>
      <c r="C33" s="9">
        <v>45922</v>
      </c>
      <c r="D33" s="4" t="s">
        <v>29</v>
      </c>
      <c r="E33" s="6">
        <v>768</v>
      </c>
      <c r="F33" s="10">
        <v>2250</v>
      </c>
      <c r="G33" s="5">
        <f t="shared" si="0"/>
        <v>1728000</v>
      </c>
      <c r="H33" s="13"/>
      <c r="I33" s="5">
        <f t="shared" si="1"/>
        <v>7192250</v>
      </c>
      <c r="J33" s="30"/>
      <c r="K33" s="31"/>
    </row>
    <row r="34" spans="2:15" x14ac:dyDescent="0.25">
      <c r="B34" s="7"/>
      <c r="C34" s="9"/>
      <c r="D34" s="4" t="s">
        <v>14</v>
      </c>
      <c r="E34" s="6">
        <v>8</v>
      </c>
      <c r="F34" s="10">
        <v>4000</v>
      </c>
      <c r="G34" s="5">
        <f t="shared" si="0"/>
        <v>32000</v>
      </c>
      <c r="H34" s="13"/>
      <c r="I34" s="5">
        <f t="shared" si="1"/>
        <v>7224250</v>
      </c>
    </row>
    <row r="35" spans="2:15" x14ac:dyDescent="0.25">
      <c r="B35" s="7"/>
      <c r="C35" s="9">
        <v>45923</v>
      </c>
      <c r="D35" s="2" t="s">
        <v>32</v>
      </c>
      <c r="E35" s="6"/>
      <c r="F35" s="10"/>
      <c r="G35" s="5">
        <f t="shared" si="0"/>
        <v>0</v>
      </c>
      <c r="H35" s="13">
        <v>4000000</v>
      </c>
      <c r="I35" s="5">
        <f t="shared" si="1"/>
        <v>3224250</v>
      </c>
      <c r="J35" s="30" t="s">
        <v>33</v>
      </c>
      <c r="K35" s="31"/>
      <c r="L35" s="31"/>
      <c r="M35" s="31"/>
      <c r="N35" s="31"/>
      <c r="O35" s="31"/>
    </row>
    <row r="36" spans="2:15" x14ac:dyDescent="0.25">
      <c r="B36" s="7">
        <v>4352</v>
      </c>
      <c r="C36" s="9">
        <v>45926</v>
      </c>
      <c r="D36" s="4" t="s">
        <v>29</v>
      </c>
      <c r="E36" s="6">
        <v>1344</v>
      </c>
      <c r="F36" s="10">
        <v>2250</v>
      </c>
      <c r="G36" s="5">
        <f t="shared" ref="G36:G42" si="3">E36*F36</f>
        <v>3024000</v>
      </c>
      <c r="H36" s="13"/>
      <c r="I36" s="5">
        <f t="shared" si="1"/>
        <v>6248250</v>
      </c>
    </row>
    <row r="37" spans="2:15" x14ac:dyDescent="0.25">
      <c r="B37" s="7"/>
      <c r="C37" s="9"/>
      <c r="D37" s="4" t="s">
        <v>14</v>
      </c>
      <c r="E37" s="6">
        <v>14</v>
      </c>
      <c r="F37" s="10">
        <v>4000</v>
      </c>
      <c r="G37" s="5">
        <f t="shared" si="3"/>
        <v>56000</v>
      </c>
      <c r="H37" s="13"/>
      <c r="I37" s="5">
        <f t="shared" si="1"/>
        <v>6304250</v>
      </c>
    </row>
    <row r="38" spans="2:15" x14ac:dyDescent="0.25">
      <c r="B38" s="7">
        <v>3953</v>
      </c>
      <c r="C38" s="9">
        <v>45939</v>
      </c>
      <c r="D38" s="4" t="s">
        <v>29</v>
      </c>
      <c r="E38" s="6">
        <v>1566</v>
      </c>
      <c r="F38" s="10">
        <v>2250</v>
      </c>
      <c r="G38" s="5">
        <f t="shared" si="3"/>
        <v>3523500</v>
      </c>
      <c r="H38" s="13"/>
      <c r="I38" s="5">
        <f t="shared" si="1"/>
        <v>9827750</v>
      </c>
    </row>
    <row r="39" spans="2:15" x14ac:dyDescent="0.25">
      <c r="B39" s="7"/>
      <c r="C39" s="9"/>
      <c r="D39" s="4" t="s">
        <v>14</v>
      </c>
      <c r="E39" s="6">
        <v>16</v>
      </c>
      <c r="F39" s="10">
        <v>4000</v>
      </c>
      <c r="G39" s="5">
        <f t="shared" si="3"/>
        <v>64000</v>
      </c>
      <c r="H39" s="13"/>
      <c r="I39" s="5">
        <f t="shared" si="1"/>
        <v>9891750</v>
      </c>
    </row>
    <row r="40" spans="2:15" x14ac:dyDescent="0.25">
      <c r="B40" s="7"/>
      <c r="C40" s="9">
        <v>45946</v>
      </c>
      <c r="D40" s="2" t="s">
        <v>32</v>
      </c>
      <c r="E40" s="6"/>
      <c r="F40" s="10"/>
      <c r="G40" s="5">
        <f t="shared" si="3"/>
        <v>0</v>
      </c>
      <c r="H40" s="13">
        <v>5500000</v>
      </c>
      <c r="I40" s="5">
        <f t="shared" ref="I40" si="4">I39+G40-H40</f>
        <v>4391750</v>
      </c>
    </row>
    <row r="41" spans="2:15" x14ac:dyDescent="0.25">
      <c r="B41" s="7">
        <v>4241</v>
      </c>
      <c r="C41" s="9">
        <v>45959</v>
      </c>
      <c r="D41" s="4" t="s">
        <v>29</v>
      </c>
      <c r="E41" s="6">
        <v>1824</v>
      </c>
      <c r="F41" s="10">
        <v>2250</v>
      </c>
      <c r="G41" s="5">
        <f t="shared" si="3"/>
        <v>4104000</v>
      </c>
      <c r="H41" s="13"/>
      <c r="I41" s="5">
        <f t="shared" si="1"/>
        <v>8495750</v>
      </c>
      <c r="J41" s="30" t="s">
        <v>34</v>
      </c>
      <c r="K41" s="31"/>
    </row>
    <row r="42" spans="2:15" x14ac:dyDescent="0.25">
      <c r="B42" s="7"/>
      <c r="C42" s="9"/>
      <c r="D42" s="4" t="s">
        <v>14</v>
      </c>
      <c r="E42" s="6">
        <v>19</v>
      </c>
      <c r="F42" s="10">
        <v>4000</v>
      </c>
      <c r="G42" s="5">
        <f t="shared" si="3"/>
        <v>76000</v>
      </c>
      <c r="H42" s="13"/>
      <c r="I42" s="5">
        <f t="shared" si="1"/>
        <v>8571750</v>
      </c>
    </row>
    <row r="43" spans="2:15" x14ac:dyDescent="0.25">
      <c r="B43" s="7"/>
      <c r="C43" s="40">
        <v>45960</v>
      </c>
      <c r="D43" s="2" t="s">
        <v>32</v>
      </c>
      <c r="E43" s="6"/>
      <c r="F43" s="10"/>
      <c r="G43" s="5">
        <f t="shared" ref="G43:G49" si="5">E43*F43</f>
        <v>0</v>
      </c>
      <c r="H43" s="13">
        <v>5000000</v>
      </c>
      <c r="I43" s="5">
        <f t="shared" ref="I43:I49" si="6">I42+G43-H43</f>
        <v>3571750</v>
      </c>
    </row>
    <row r="44" spans="2:15" x14ac:dyDescent="0.25">
      <c r="B44" s="7"/>
      <c r="C44" s="7"/>
      <c r="D44" s="2"/>
      <c r="E44" s="6"/>
      <c r="F44" s="10"/>
      <c r="G44" s="5">
        <f t="shared" si="5"/>
        <v>0</v>
      </c>
      <c r="H44" s="13"/>
      <c r="I44" s="5">
        <f t="shared" si="6"/>
        <v>3571750</v>
      </c>
    </row>
    <row r="45" spans="2:15" x14ac:dyDescent="0.25">
      <c r="B45" s="7"/>
      <c r="C45" s="7"/>
      <c r="D45" s="2"/>
      <c r="E45" s="6"/>
      <c r="F45" s="10"/>
      <c r="G45" s="5">
        <f t="shared" si="5"/>
        <v>0</v>
      </c>
      <c r="H45" s="13"/>
      <c r="I45" s="5">
        <f t="shared" si="6"/>
        <v>3571750</v>
      </c>
    </row>
    <row r="46" spans="2:15" x14ac:dyDescent="0.25">
      <c r="B46" s="7"/>
      <c r="C46" s="7"/>
      <c r="D46" s="2"/>
      <c r="E46" s="6"/>
      <c r="F46" s="10"/>
      <c r="G46" s="5">
        <f t="shared" si="5"/>
        <v>0</v>
      </c>
      <c r="H46" s="13"/>
      <c r="I46" s="5">
        <f t="shared" si="6"/>
        <v>3571750</v>
      </c>
    </row>
    <row r="47" spans="2:15" x14ac:dyDescent="0.25">
      <c r="B47" s="7"/>
      <c r="C47" s="7"/>
      <c r="D47" s="2"/>
      <c r="E47" s="6"/>
      <c r="F47" s="10"/>
      <c r="G47" s="5">
        <f t="shared" si="5"/>
        <v>0</v>
      </c>
      <c r="H47" s="13"/>
      <c r="I47" s="5">
        <f t="shared" si="6"/>
        <v>3571750</v>
      </c>
    </row>
    <row r="48" spans="2:15" x14ac:dyDescent="0.25">
      <c r="B48" s="7"/>
      <c r="C48" s="7"/>
      <c r="D48" s="2"/>
      <c r="E48" s="6"/>
      <c r="F48" s="10"/>
      <c r="G48" s="5">
        <f t="shared" si="5"/>
        <v>0</v>
      </c>
      <c r="H48" s="13"/>
      <c r="I48" s="5">
        <f t="shared" si="6"/>
        <v>3571750</v>
      </c>
    </row>
    <row r="49" spans="2:9" x14ac:dyDescent="0.25">
      <c r="B49" s="7"/>
      <c r="C49" s="7"/>
      <c r="D49" s="2"/>
      <c r="E49" s="6"/>
      <c r="F49" s="10"/>
      <c r="G49" s="5">
        <f t="shared" si="5"/>
        <v>0</v>
      </c>
      <c r="H49" s="13"/>
      <c r="I49" s="5">
        <f t="shared" si="6"/>
        <v>3571750</v>
      </c>
    </row>
  </sheetData>
  <mergeCells count="20">
    <mergeCell ref="B2:I2"/>
    <mergeCell ref="B3:I3"/>
    <mergeCell ref="J24:L24"/>
    <mergeCell ref="B7:I7"/>
    <mergeCell ref="B4:I4"/>
    <mergeCell ref="B5:I5"/>
    <mergeCell ref="B6:I6"/>
    <mergeCell ref="B8:I8"/>
    <mergeCell ref="J19:K19"/>
    <mergeCell ref="B9:I9"/>
    <mergeCell ref="B10:I10"/>
    <mergeCell ref="B11:I11"/>
    <mergeCell ref="B12:I12"/>
    <mergeCell ref="B14:I14"/>
    <mergeCell ref="B13:I13"/>
    <mergeCell ref="J41:K41"/>
    <mergeCell ref="J31:K31"/>
    <mergeCell ref="J25:L25"/>
    <mergeCell ref="J33:K33"/>
    <mergeCell ref="J35:O35"/>
  </mergeCells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2025-10-30T15:40:07Z</dcterms:modified>
</cp:coreProperties>
</file>